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7EA66DE-CEDA-41A2-A923-E3EAE1F755BE}" xr6:coauthVersionLast="47" xr6:coauthVersionMax="47" xr10:uidLastSave="{00000000-0000-0000-0000-000000000000}"/>
  <bookViews>
    <workbookView xWindow="12710" yWindow="0" windowWidth="12980" windowHeight="15370" xr2:uid="{589EDB59-208D-4B15-8E39-C312B4CA57EE}"/>
  </bookViews>
  <sheets>
    <sheet name="du_lieu_canh_bao_tho" sheetId="1" r:id="rId1"/>
    <sheet name="bang_dinh_ngh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F3" i="1"/>
  <c r="F4" i="1"/>
  <c r="G2" i="1"/>
  <c r="F2" i="1"/>
</calcChain>
</file>

<file path=xl/sharedStrings.xml><?xml version="1.0" encoding="utf-8"?>
<sst xmlns="http://schemas.openxmlformats.org/spreadsheetml/2006/main" count="35" uniqueCount="23">
  <si>
    <t>thoi_gian</t>
  </si>
  <si>
    <t>nguon</t>
  </si>
  <si>
    <t>ip_dich</t>
  </si>
  <si>
    <t>loai_ma_doc</t>
  </si>
  <si>
    <t>muc_do</t>
  </si>
  <si>
    <t>192.168.1.10</t>
  </si>
  <si>
    <t>192.168.1.23</t>
  </si>
  <si>
    <t>10.0.0.5</t>
  </si>
  <si>
    <t>10.0.0.8</t>
  </si>
  <si>
    <t>10.0.0.12</t>
  </si>
  <si>
    <t>MDL_1023</t>
  </si>
  <si>
    <t>MDL_2045</t>
  </si>
  <si>
    <t>MDL_3099</t>
  </si>
  <si>
    <t>Cao</t>
  </si>
  <si>
    <t>Trung bình</t>
  </si>
  <si>
    <t>ten_ma_doc</t>
  </si>
  <si>
    <t>mo_ta</t>
  </si>
  <si>
    <t>Emotet</t>
  </si>
  <si>
    <t>Banking Trojan</t>
  </si>
  <si>
    <t>Lokibot</t>
  </si>
  <si>
    <t>Info Stealer</t>
  </si>
  <si>
    <t>Cobalt Strike</t>
  </si>
  <si>
    <t>Penetration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</si>
</sst>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1934-266A-419C-A254-B6459D70179D}">
  <dimension ref="A1:G4"/>
  <sheetViews>
    <sheetView tabSelected="1" workbookViewId="0">
      <selection activeCell="E12" sqref="E12"/>
    </sheetView>
  </sheetViews>
  <sheetFormatPr defaultRowHeight="14.5" x14ac:dyDescent="0.35"/>
  <cols>
    <col min="1" max="1" width="18.81640625" customWidth="1"/>
    <col min="2" max="2" width="12.54296875" customWidth="1"/>
    <col min="3" max="3" width="13.54296875" customWidth="1"/>
    <col min="4" max="4" width="12.1796875" customWidth="1"/>
    <col min="5" max="5" width="10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35">
      <c r="A2" s="1">
        <v>45432.3440162037</v>
      </c>
      <c r="B2" t="s">
        <v>5</v>
      </c>
      <c r="C2" t="s">
        <v>7</v>
      </c>
      <c r="D2" t="s">
        <v>10</v>
      </c>
      <c r="E2" t="s">
        <v>13</v>
      </c>
      <c r="F2" t="str">
        <f>IFERROR(VLOOKUP(TRIM(D2), bang_dinh_nghia!$A$2:$D$4, 2, FALSE), "Chưa xác định")</f>
        <v>Emotet</v>
      </c>
      <c r="G2" t="str">
        <f>IFERROR(VLOOKUP(TRIM(D2), bang_dinh_nghia!$A$2:$D$4, 3, FALSE), "Chưa xác định")</f>
        <v>Banking Trojan</v>
      </c>
    </row>
    <row r="3" spans="1:7" x14ac:dyDescent="0.35">
      <c r="A3" s="1">
        <v>45432.345266203702</v>
      </c>
      <c r="B3" t="s">
        <v>6</v>
      </c>
      <c r="C3" t="s">
        <v>8</v>
      </c>
      <c r="D3" t="s">
        <v>11</v>
      </c>
      <c r="E3" t="s">
        <v>14</v>
      </c>
      <c r="F3" t="str">
        <f>IFERROR(VLOOKUP(TRIM(D3), bang_dinh_nghia!$A$2:$D$4, 2, FALSE), "Chưa xác định")</f>
        <v>Lokibot</v>
      </c>
      <c r="G3" t="str">
        <f>IFERROR(VLOOKUP(TRIM(D3), bang_dinh_nghia!$A$2:$D$4, 3, FALSE), "Chưa xác định")</f>
        <v>Info Stealer</v>
      </c>
    </row>
    <row r="4" spans="1:7" x14ac:dyDescent="0.35">
      <c r="A4" s="1">
        <v>45432.347939814812</v>
      </c>
      <c r="B4" t="s">
        <v>5</v>
      </c>
      <c r="C4" t="s">
        <v>9</v>
      </c>
      <c r="D4" t="s">
        <v>12</v>
      </c>
      <c r="E4" t="s">
        <v>13</v>
      </c>
      <c r="F4" t="str">
        <f>IFERROR(VLOOKUP(TRIM(D4), bang_dinh_nghia!$A$2:$D$4, 2, FALSE), "Chưa xác định")</f>
        <v>Cobalt Strike</v>
      </c>
      <c r="G4" t="str">
        <f>IFERROR(VLOOKUP(TRIM(D4), bang_dinh_nghia!$A$2:$D$4, 3, FALSE), "Chưa xác định")</f>
        <v>Penetration Tool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5A8C-C6B7-436C-91A6-CDDCD7E97F26}">
  <dimension ref="A1:D4"/>
  <sheetViews>
    <sheetView workbookViewId="0">
      <selection activeCell="E2" sqref="E2"/>
    </sheetView>
  </sheetViews>
  <sheetFormatPr defaultRowHeight="14.5" x14ac:dyDescent="0.35"/>
  <cols>
    <col min="1" max="1" width="15" customWidth="1"/>
    <col min="2" max="2" width="12.54296875" customWidth="1"/>
    <col min="3" max="3" width="16.1796875" customWidth="1"/>
    <col min="4" max="4" width="12.36328125" customWidth="1"/>
  </cols>
  <sheetData>
    <row r="1" spans="1:4" x14ac:dyDescent="0.35">
      <c r="A1" t="s">
        <v>3</v>
      </c>
      <c r="B1" t="s">
        <v>15</v>
      </c>
      <c r="C1" t="s">
        <v>16</v>
      </c>
      <c r="D1" t="s">
        <v>4</v>
      </c>
    </row>
    <row r="2" spans="1:4" x14ac:dyDescent="0.35">
      <c r="A2" t="s">
        <v>10</v>
      </c>
      <c r="B2" t="s">
        <v>17</v>
      </c>
      <c r="C2" t="s">
        <v>18</v>
      </c>
      <c r="D2" t="s">
        <v>13</v>
      </c>
    </row>
    <row r="3" spans="1:4" x14ac:dyDescent="0.35">
      <c r="A3" t="s">
        <v>11</v>
      </c>
      <c r="B3" t="s">
        <v>19</v>
      </c>
      <c r="C3" t="s">
        <v>20</v>
      </c>
      <c r="D3" t="s">
        <v>14</v>
      </c>
    </row>
    <row r="4" spans="1:4" x14ac:dyDescent="0.35">
      <c r="A4" t="s">
        <v>12</v>
      </c>
      <c r="B4" t="s">
        <v>21</v>
      </c>
      <c r="C4" t="s">
        <v>22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du_lieu_canh_bao_tho</vt:lpstr>
      <vt:lpstr>bang_dinh_nghia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Đào Tuấn Đạt</dc:creator>
  <cp:lastModifiedBy>Đào Tuấn Đạt</cp:lastModifiedBy>
  <dcterms:created xsi:type="dcterms:W3CDTF">2026-10-26T13:23:42Z</dcterms:created>
  <dcterms:modified xsi:type="dcterms:W3CDTF">2026-10-26T13:34:08Z</dcterms:modified>
</cp:coreProperties>
</file>